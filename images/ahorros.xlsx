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.ramirez\Documents\raios\images\"/>
    </mc:Choice>
  </mc:AlternateContent>
  <xr:revisionPtr revIDLastSave="0" documentId="8_{8510EDC3-7A1A-41BD-9A41-789347987E9C}" xr6:coauthVersionLast="47" xr6:coauthVersionMax="47" xr10:uidLastSave="{00000000-0000-0000-0000-000000000000}"/>
  <bookViews>
    <workbookView xWindow="-28920" yWindow="-2070" windowWidth="29040" windowHeight="15720" xr2:uid="{B84A6F50-C5E7-4E7F-A59D-1BCDB278B1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F5" i="1" s="1"/>
  <c r="E6" i="1"/>
  <c r="F6" i="1" s="1"/>
  <c r="E2" i="1"/>
  <c r="F2" i="1" s="1"/>
  <c r="B7" i="1"/>
  <c r="G2" i="1" l="1"/>
  <c r="G6" i="1"/>
  <c r="G3" i="1"/>
  <c r="G5" i="1"/>
  <c r="F7" i="1"/>
  <c r="G4" i="1"/>
  <c r="G7" i="1"/>
  <c r="G9" i="1" s="1"/>
</calcChain>
</file>

<file path=xl/sharedStrings.xml><?xml version="1.0" encoding="utf-8"?>
<sst xmlns="http://schemas.openxmlformats.org/spreadsheetml/2006/main" count="21" uniqueCount="19">
  <si>
    <t>PROMEDIO</t>
  </si>
  <si>
    <t>COORD 1</t>
  </si>
  <si>
    <t>COORD 2</t>
  </si>
  <si>
    <t>COORD 3</t>
  </si>
  <si>
    <t>COORD 4</t>
  </si>
  <si>
    <t>COORD 5</t>
  </si>
  <si>
    <t>Coordinadores</t>
  </si>
  <si>
    <t>Valor hora</t>
  </si>
  <si>
    <t>ENTEC</t>
  </si>
  <si>
    <t>CPA</t>
  </si>
  <si>
    <t>GENESIS</t>
  </si>
  <si>
    <t>Entidad</t>
  </si>
  <si>
    <t>Ahorro hrs semanal</t>
  </si>
  <si>
    <t>Ahorro horas mensual</t>
  </si>
  <si>
    <t>Ahorro en horas anual</t>
  </si>
  <si>
    <t>Ahorro $ total</t>
  </si>
  <si>
    <t>AHORRO TOTAL ANUAL</t>
  </si>
  <si>
    <t>AHORRO EN DOLARES</t>
  </si>
  <si>
    <t>USD TASA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</si>
</sst>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4" fontId="2" fillId="0" borderId="0" xfId="1" applyFont="1"/>
    <xf numFmtId="44" fontId="0" fillId="0" borderId="0" xfId="1" applyFont="1"/>
    <xf numFmtId="44" fontId="0" fillId="0" borderId="0" xfId="0" applyNumberFormat="1"/>
    <xf numFmtId="44" fontId="2" fillId="0" borderId="0" xfId="0" applyNumberFormat="1" applyFont="1"/>
    <xf numFmtId="1" fontId="0" fillId="0" borderId="0" xfId="1" applyNumberFormat="1" applyFont="1"/>
    <xf numFmtId="0" fontId="0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83F2-E87E-4ABE-AD6D-A9AEDB2E9F03}">
  <dimension ref="A1:H10"/>
  <sheetViews>
    <sheetView tabSelected="1" zoomScale="202" zoomScaleNormal="202" workbookViewId="0">
      <selection activeCell="G8" sqref="G8"/>
    </sheetView>
  </sheetViews>
  <sheetFormatPr baseColWidth="10" defaultRowHeight="15" x14ac:dyDescent="0.25"/>
  <cols>
    <col min="1" max="1" width="11.7109375" bestFit="1" customWidth="1"/>
    <col min="2" max="2" width="12.140625" bestFit="1" customWidth="1"/>
    <col min="3" max="3" width="13.85546875" bestFit="1" customWidth="1"/>
    <col min="4" max="4" width="13" bestFit="1" customWidth="1"/>
    <col min="5" max="5" width="19.5703125" bestFit="1" customWidth="1"/>
    <col min="6" max="6" width="23.140625" bestFit="1" customWidth="1"/>
    <col min="7" max="7" width="15.85546875" bestFit="1" customWidth="1"/>
    <col min="8" max="8" width="14.85546875" bestFit="1" customWidth="1"/>
  </cols>
  <sheetData>
    <row r="1" spans="1:8" x14ac:dyDescent="0.25">
      <c r="A1" s="1" t="s">
        <v>6</v>
      </c>
      <c r="B1" s="1" t="s">
        <v>7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8" x14ac:dyDescent="0.25">
      <c r="A2" t="s">
        <v>1</v>
      </c>
      <c r="B2" s="3">
        <v>30555</v>
      </c>
      <c r="C2" t="s">
        <v>8</v>
      </c>
      <c r="D2">
        <v>8</v>
      </c>
      <c r="E2">
        <f>D2*4</f>
        <v>32</v>
      </c>
      <c r="F2">
        <f>E2*12</f>
        <v>384</v>
      </c>
      <c r="G2" s="4">
        <f>F2*$B$7</f>
        <v>12053068.800000001</v>
      </c>
      <c r="H2" s="4"/>
    </row>
    <row r="3" spans="1:8" x14ac:dyDescent="0.25">
      <c r="A3" t="s">
        <v>2</v>
      </c>
      <c r="B3" s="3">
        <v>31971</v>
      </c>
      <c r="C3" t="s">
        <v>9</v>
      </c>
      <c r="D3">
        <v>8</v>
      </c>
      <c r="E3">
        <f t="shared" ref="E3:E6" si="0">D3*4</f>
        <v>32</v>
      </c>
      <c r="F3">
        <f>E3*12</f>
        <v>384</v>
      </c>
      <c r="G3" s="4">
        <f t="shared" ref="G3:G6" si="1">F3*$B$7</f>
        <v>12053068.800000001</v>
      </c>
      <c r="H3" s="4"/>
    </row>
    <row r="4" spans="1:8" x14ac:dyDescent="0.25">
      <c r="A4" t="s">
        <v>3</v>
      </c>
      <c r="B4" s="3">
        <v>30570</v>
      </c>
      <c r="C4" t="s">
        <v>10</v>
      </c>
      <c r="D4">
        <v>3</v>
      </c>
      <c r="E4">
        <f t="shared" si="0"/>
        <v>12</v>
      </c>
      <c r="F4">
        <f t="shared" ref="F4:F6" si="2">E4*12</f>
        <v>144</v>
      </c>
      <c r="G4" s="4">
        <f t="shared" si="1"/>
        <v>4519900.8</v>
      </c>
      <c r="H4" s="4"/>
    </row>
    <row r="5" spans="1:8" x14ac:dyDescent="0.25">
      <c r="A5" t="s">
        <v>4</v>
      </c>
      <c r="B5" s="3">
        <v>32791</v>
      </c>
      <c r="C5" t="s">
        <v>9</v>
      </c>
      <c r="D5">
        <v>8</v>
      </c>
      <c r="E5">
        <f t="shared" si="0"/>
        <v>32</v>
      </c>
      <c r="F5">
        <f t="shared" si="2"/>
        <v>384</v>
      </c>
      <c r="G5" s="4">
        <f t="shared" si="1"/>
        <v>12053068.800000001</v>
      </c>
      <c r="H5" s="4"/>
    </row>
    <row r="6" spans="1:8" x14ac:dyDescent="0.25">
      <c r="A6" t="s">
        <v>5</v>
      </c>
      <c r="B6" s="3">
        <v>31054</v>
      </c>
      <c r="C6" s="7" t="s">
        <v>8</v>
      </c>
      <c r="D6" s="7">
        <v>3</v>
      </c>
      <c r="E6">
        <f t="shared" si="0"/>
        <v>12</v>
      </c>
      <c r="F6">
        <f t="shared" si="2"/>
        <v>144</v>
      </c>
      <c r="G6" s="4">
        <f t="shared" si="1"/>
        <v>4519900.8</v>
      </c>
      <c r="H6" s="4"/>
    </row>
    <row r="7" spans="1:8" x14ac:dyDescent="0.25">
      <c r="A7" s="1" t="s">
        <v>0</v>
      </c>
      <c r="B7" s="2">
        <f>AVERAGE(B2:B6)</f>
        <v>31388.2</v>
      </c>
      <c r="C7" s="6"/>
      <c r="D7" s="3"/>
      <c r="E7" s="2" t="s">
        <v>16</v>
      </c>
      <c r="F7">
        <f>SUM(F2:F6)</f>
        <v>1440</v>
      </c>
      <c r="G7" s="5">
        <f>SUM(G2:G6)</f>
        <v>45199008</v>
      </c>
    </row>
    <row r="8" spans="1:8" x14ac:dyDescent="0.25">
      <c r="B8" s="3"/>
      <c r="C8" s="3"/>
      <c r="D8" s="3"/>
      <c r="E8" s="3"/>
      <c r="F8" s="3" t="s">
        <v>18</v>
      </c>
      <c r="G8" s="3">
        <v>3700</v>
      </c>
    </row>
    <row r="9" spans="1:8" x14ac:dyDescent="0.25">
      <c r="E9" s="2" t="s">
        <v>17</v>
      </c>
      <c r="F9" s="5"/>
      <c r="G9" s="5">
        <f>G7/G8</f>
        <v>12215.948108108108</v>
      </c>
    </row>
    <row r="10" spans="1:8" x14ac:dyDescent="0.25">
      <c r="F10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Lisbeth Ramirez Camelo</dc:creator>
  <cp:lastModifiedBy>Andrea Lisbeth Ramirez Camelo</cp:lastModifiedBy>
  <dcterms:created xsi:type="dcterms:W3CDTF">2026-02-04T16:01:53Z</dcterms:created>
  <dcterms:modified xsi:type="dcterms:W3CDTF">2026-02-05T16:55:26Z</dcterms:modified>
</cp:coreProperties>
</file>